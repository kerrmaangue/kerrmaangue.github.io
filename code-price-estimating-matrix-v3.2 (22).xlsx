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ng Matrix" sheetId="1" state="visible" r:id="rId3"/>
    <sheet name="Mile-Marker Cos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<sst xmlns="http://schemas.openxmlformats.org/spreadsheetml/2006/main" count="37" uniqueCount="33">
  <si>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Code Price List &amp; Estimating Matrix (v3.2) - sample template</t>
  </si>
  <si>
    <t xml:space="preserve">Legend: blue cells are inputs you edit (yellow = enter a value); black cells are formulas. Quantities are placeholders. Rates are example figures supplied by the site owner, not an official price list.</t>
  </si>
  <si>
    <t xml:space="preserve">Method</t>
  </si>
  <si>
    <t xml:space="preserve">Item</t>
  </si>
  <si>
    <t xml:space="preserve">Quantity</t>
  </si>
  <si>
    <t xml:space="preserve">Unit</t>
  </si>
  <si>
    <t xml:space="preserve">Unit Cost ($)</t>
  </si>
  <si>
    <t xml:space="preserve">Extended Cost ($)</t>
  </si>
  <si>
    <t xml:space="preserve">Notes</t>
  </si>
  <si>
    <t xml:space="preserve">Square Foot</t>
  </si>
  <si>
    <t xml:space="preserve">Barn</t>
  </si>
  <si>
    <t xml:space="preserve">SF</t>
  </si>
  <si>
    <t xml:space="preserve">Example rate: $30/SF</t>
  </si>
  <si>
    <t xml:space="preserve">Hangar</t>
  </si>
  <si>
    <t xml:space="preserve">Example rate: $100/SF</t>
  </si>
  <si>
    <t xml:space="preserve">Unit Valuation</t>
  </si>
  <si>
    <t xml:space="preserve">Commercial boiler</t>
  </si>
  <si>
    <t xml:space="preserve">EA</t>
  </si>
  <si>
    <t xml:space="preserve">Example rate: $500K each</t>
  </si>
  <si>
    <t xml:space="preserve">Air handling unit (AHU)</t>
  </si>
  <si>
    <t xml:space="preserve">Example rate: $150K each</t>
  </si>
  <si>
    <t xml:space="preserve">Linear (DOT)</t>
  </si>
  <si>
    <t xml:space="preserve">Road segment (see Mile-Marker Costing tab)</t>
  </si>
  <si>
    <t xml:space="preserve">Total</t>
  </si>
  <si>
    <t xml:space="preserve">DOT Mile-Marker Linear Costing</t>
  </si>
  <si>
    <t xml:space="preserve">Miles = |end marker - start marker|. Enter your own per-mile rate in the yellow cell; no rate was supplied, so the example row shows 0.</t>
  </si>
  <si>
    <t xml:space="preserve">Segment</t>
  </si>
  <si>
    <t xml:space="preserve">Start Mile Marker</t>
  </si>
  <si>
    <t xml:space="preserve">End Mile Marker</t>
  </si>
  <si>
    <t xml:space="preserve">Miles</t>
  </si>
  <si>
    <t xml:space="preserve">Rate ($/mile)</t>
  </si>
  <si>
    <t xml:space="preserve">Cost ($)</t>
  </si>
  <si>
    <t xml:space="preserve">Example segment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</si>
</sst>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5700"/>
        <bgColor rgb="FFFF66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10000</v>
      </c>
      <c r="D5" s="4" t="s">
        <v>11</v>
      </c>
      <c r="E5" s="6" t="n">
        <v>30</v>
      </c>
      <c r="F5" s="7" t="n">
        <f aca="false">C5*E5</f>
        <v>300000</v>
      </c>
      <c r="G5" s="4" t="s">
        <v>12</v>
      </c>
    </row>
    <row r="6" customFormat="false" ht="15" hidden="false" customHeight="false" outlineLevel="0" collapsed="false">
      <c r="A6" s="4" t="s">
        <v>9</v>
      </c>
      <c r="B6" s="4" t="s">
        <v>13</v>
      </c>
      <c r="C6" s="5" t="n">
        <v>20000</v>
      </c>
      <c r="D6" s="4" t="s">
        <v>11</v>
      </c>
      <c r="E6" s="6" t="n">
        <v>100</v>
      </c>
      <c r="F6" s="7" t="n">
        <f aca="false">C6*E6</f>
        <v>2000000</v>
      </c>
      <c r="G6" s="4" t="s">
        <v>14</v>
      </c>
    </row>
    <row r="7" customFormat="false" ht="15" hidden="false" customHeight="false" outlineLevel="0" collapsed="false">
      <c r="A7" s="4" t="s">
        <v>15</v>
      </c>
      <c r="B7" s="4" t="s">
        <v>16</v>
      </c>
      <c r="C7" s="5" t="n">
        <v>1</v>
      </c>
      <c r="D7" s="4" t="s">
        <v>17</v>
      </c>
      <c r="E7" s="6" t="n">
        <v>500000</v>
      </c>
      <c r="F7" s="7" t="n">
        <f aca="false">C7*E7</f>
        <v>500000</v>
      </c>
      <c r="G7" s="4" t="s">
        <v>18</v>
      </c>
    </row>
    <row r="8" customFormat="false" ht="15" hidden="false" customHeight="false" outlineLevel="0" collapsed="false">
      <c r="A8" s="4" t="s">
        <v>15</v>
      </c>
      <c r="B8" s="4" t="s">
        <v>19</v>
      </c>
      <c r="C8" s="5" t="n">
        <v>1</v>
      </c>
      <c r="D8" s="4" t="s">
        <v>17</v>
      </c>
      <c r="E8" s="6" t="n">
        <v>150000</v>
      </c>
      <c r="F8" s="7" t="n">
        <f aca="false">C8*E8</f>
        <v>150000</v>
      </c>
      <c r="G8" s="4" t="s">
        <v>20</v>
      </c>
    </row>
    <row r="10" customFormat="false" ht="15" hidden="false" customHeight="false" outlineLevel="0" collapsed="false">
      <c r="A10" s="4" t="s">
        <v>21</v>
      </c>
      <c r="B10" s="4" t="s">
        <v>22</v>
      </c>
      <c r="F10" s="7" t="n">
        <f aca="false">'Mile-Marker Costing'!F5</f>
        <v>0</v>
      </c>
    </row>
    <row r="11" customFormat="false" ht="15" hidden="false" customHeight="false" outlineLevel="0" collapsed="false">
      <c r="A11" s="8" t="s">
        <v>23</v>
      </c>
      <c r="F11" s="9" t="n">
        <f aca="false">SUM(F5:F10)</f>
        <v>2950000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</row>
    <row r="5" customFormat="false" ht="15" hidden="false" customHeight="false" outlineLevel="0" collapsed="false">
      <c r="A5" s="4" t="s">
        <v>32</v>
      </c>
      <c r="B5" s="10" t="n">
        <v>10</v>
      </c>
      <c r="C5" s="10" t="n">
        <v>15</v>
      </c>
      <c r="D5" s="4" t="n">
        <f aca="false">ABS(C5-B5)</f>
        <v>5</v>
      </c>
      <c r="E5" s="11"/>
      <c r="F5" s="7" t="n">
        <f aca="false">D5*E5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2026-10-04T17:51:22Z</dcterms:created>
  <dc:creator>openpyxl</dc:creator>
  <dc:description/>
  <dc:language>en-US</dc:language>
  <cp:lastModifiedBy/>
  <dcterms:modified xsi:type="dcterms:W3CDTF">2026-10-04T17:51:22Z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